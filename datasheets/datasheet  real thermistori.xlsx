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tefa\Desktop\"/>
    </mc:Choice>
  </mc:AlternateContent>
  <xr:revisionPtr revIDLastSave="0" documentId="13_ncr:1_{639FCBF2-9573-43AC-B5A2-43E920119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C7" i="1" s="1"/>
  <c r="L8" i="1"/>
  <c r="L9" i="1"/>
  <c r="L2" i="1"/>
  <c r="C3" i="1"/>
  <c r="G3" i="1" s="1"/>
  <c r="C4" i="1"/>
  <c r="F4" i="1" s="1"/>
  <c r="C5" i="1"/>
  <c r="F5" i="1" s="1"/>
  <c r="C6" i="1"/>
  <c r="C2" i="1"/>
  <c r="K9" i="1"/>
  <c r="C9" i="1" s="1"/>
  <c r="K3" i="1"/>
  <c r="K4" i="1"/>
  <c r="K5" i="1"/>
  <c r="K6" i="1"/>
  <c r="K7" i="1"/>
  <c r="K8" i="1"/>
  <c r="C8" i="1" s="1"/>
  <c r="K2" i="1"/>
  <c r="H3" i="1"/>
  <c r="H4" i="1"/>
  <c r="H5" i="1"/>
  <c r="H6" i="1"/>
  <c r="H7" i="1"/>
  <c r="H8" i="1"/>
  <c r="H9" i="1"/>
  <c r="H2" i="1"/>
  <c r="G9" i="1" l="1"/>
  <c r="I9" i="1"/>
  <c r="J9" i="1" s="1"/>
  <c r="I8" i="1"/>
  <c r="J8" i="1" s="1"/>
  <c r="F7" i="1"/>
  <c r="F2" i="1"/>
  <c r="G6" i="1"/>
  <c r="F9" i="1"/>
  <c r="F3" i="1"/>
  <c r="I3" i="1"/>
  <c r="J3" i="1" s="1"/>
  <c r="I5" i="1"/>
  <c r="J5" i="1" s="1"/>
  <c r="G5" i="1"/>
  <c r="I6" i="1"/>
  <c r="J6" i="1" s="1"/>
  <c r="F6" i="1"/>
  <c r="F8" i="1"/>
  <c r="G8" i="1"/>
  <c r="G7" i="1"/>
  <c r="G4" i="1"/>
  <c r="I4" i="1"/>
  <c r="J4" i="1" s="1"/>
  <c r="I2" i="1"/>
  <c r="J2" i="1" s="1"/>
  <c r="G2" i="1"/>
  <c r="I7" i="1" l="1"/>
  <c r="J7" i="1" s="1"/>
</calcChain>
</file>

<file path=xl/sharedStrings.xml><?xml version="1.0" encoding="utf-8"?>
<sst xmlns="http://schemas.openxmlformats.org/spreadsheetml/2006/main" count="13" uniqueCount="13">
  <si>
    <t>Temp</t>
  </si>
  <si>
    <t>adc termistor</t>
  </si>
  <si>
    <t>temp</t>
  </si>
  <si>
    <t>rez temistor</t>
  </si>
  <si>
    <t>rez calc</t>
  </si>
  <si>
    <t>rez datash</t>
  </si>
  <si>
    <t>eroare</t>
  </si>
  <si>
    <t>raport</t>
  </si>
  <si>
    <t>tens adc</t>
  </si>
  <si>
    <t>temp calc data</t>
  </si>
  <si>
    <t>temp calc adc</t>
  </si>
  <si>
    <t>Rez masurata</t>
  </si>
  <si>
    <t>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</si>
</sst>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adc termistor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2074</c:v>
                </c:pt>
                <c:pt idx="1">
                  <c:v>1881</c:v>
                </c:pt>
                <c:pt idx="2">
                  <c:v>1708</c:v>
                </c:pt>
                <c:pt idx="3">
                  <c:v>1545</c:v>
                </c:pt>
                <c:pt idx="4">
                  <c:v>1399</c:v>
                </c:pt>
                <c:pt idx="5">
                  <c:v>1248</c:v>
                </c:pt>
                <c:pt idx="6">
                  <c:v>1140</c:v>
                </c:pt>
                <c:pt idx="7">
                  <c:v>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1-4AF5-B7E4-5DFC49EBA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678128"/>
        <c:axId val="1160681008"/>
      </c:scatterChart>
      <c:valAx>
        <c:axId val="116067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81008"/>
        <c:crosses val="autoZero"/>
        <c:crossBetween val="midCat"/>
      </c:valAx>
      <c:valAx>
        <c:axId val="116068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7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temp calc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2074</c:v>
                </c:pt>
                <c:pt idx="1">
                  <c:v>1881</c:v>
                </c:pt>
                <c:pt idx="2">
                  <c:v>1708</c:v>
                </c:pt>
                <c:pt idx="3">
                  <c:v>1545</c:v>
                </c:pt>
                <c:pt idx="4">
                  <c:v>1399</c:v>
                </c:pt>
                <c:pt idx="5">
                  <c:v>1248</c:v>
                </c:pt>
                <c:pt idx="6">
                  <c:v>1140</c:v>
                </c:pt>
                <c:pt idx="7">
                  <c:v>1040</c:v>
                </c:pt>
              </c:numCache>
            </c:numRef>
          </c:xVal>
          <c:yVal>
            <c:numRef>
              <c:f>Sheet1!$H$2:$H$9</c:f>
              <c:numCache>
                <c:formatCode>General</c:formatCode>
                <c:ptCount val="8"/>
                <c:pt idx="0">
                  <c:v>29.968589084265773</c:v>
                </c:pt>
                <c:pt idx="1">
                  <c:v>34.953975298004877</c:v>
                </c:pt>
                <c:pt idx="2">
                  <c:v>39.950731407727062</c:v>
                </c:pt>
                <c:pt idx="3">
                  <c:v>44.965473323213871</c:v>
                </c:pt>
                <c:pt idx="4">
                  <c:v>50.001345263441578</c:v>
                </c:pt>
                <c:pt idx="5">
                  <c:v>55.0406366828405</c:v>
                </c:pt>
                <c:pt idx="6">
                  <c:v>60.115156596382747</c:v>
                </c:pt>
                <c:pt idx="7">
                  <c:v>65.200220560813023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0E-4DB1-8E4C-679E7382FFB9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temp calc adc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2074</c:v>
                </c:pt>
                <c:pt idx="1">
                  <c:v>1881</c:v>
                </c:pt>
                <c:pt idx="2">
                  <c:v>1708</c:v>
                </c:pt>
                <c:pt idx="3">
                  <c:v>1545</c:v>
                </c:pt>
                <c:pt idx="4">
                  <c:v>1399</c:v>
                </c:pt>
                <c:pt idx="5">
                  <c:v>1248</c:v>
                </c:pt>
                <c:pt idx="6">
                  <c:v>1140</c:v>
                </c:pt>
                <c:pt idx="7">
                  <c:v>1040</c:v>
                </c:pt>
              </c:numCache>
            </c:numRef>
          </c:xVal>
          <c:yVal>
            <c:numRef>
              <c:f>Sheet1!$I$2:$I$9</c:f>
              <c:numCache>
                <c:formatCode>General</c:formatCode>
                <c:ptCount val="8"/>
                <c:pt idx="0">
                  <c:v>29.83649575848915</c:v>
                </c:pt>
                <c:pt idx="1">
                  <c:v>34.942582297513752</c:v>
                </c:pt>
                <c:pt idx="2">
                  <c:v>39.868289590079428</c:v>
                </c:pt>
                <c:pt idx="3">
                  <c:v>44.942926177393815</c:v>
                </c:pt>
                <c:pt idx="4">
                  <c:v>49.983887087937717</c:v>
                </c:pt>
                <c:pt idx="5">
                  <c:v>55.881285930135107</c:v>
                </c:pt>
                <c:pt idx="6">
                  <c:v>60.680792263821559</c:v>
                </c:pt>
                <c:pt idx="7">
                  <c:v>65.709193789110145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0E-4DB1-8E4C-679E7382F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664208"/>
        <c:axId val="1160664688"/>
      </c:scatterChart>
      <c:valAx>
        <c:axId val="116066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64688"/>
        <c:crosses val="autoZero"/>
        <c:crossBetween val="midCat"/>
      </c:valAx>
      <c:valAx>
        <c:axId val="116066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6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VD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Sheet1!$H$2:$H$9</c:f>
              <c:numCache>
                <c:formatCode>General</c:formatCode>
                <c:ptCount val="8"/>
                <c:pt idx="0">
                  <c:v>29.968589084265773</c:v>
                </c:pt>
                <c:pt idx="1">
                  <c:v>34.953975298004877</c:v>
                </c:pt>
                <c:pt idx="2">
                  <c:v>39.950731407727062</c:v>
                </c:pt>
                <c:pt idx="3">
                  <c:v>44.965473323213871</c:v>
                </c:pt>
                <c:pt idx="4">
                  <c:v>50.001345263441578</c:v>
                </c:pt>
                <c:pt idx="5">
                  <c:v>55.0406366828405</c:v>
                </c:pt>
                <c:pt idx="6">
                  <c:v>60.115156596382747</c:v>
                </c:pt>
                <c:pt idx="7">
                  <c:v>65.200220560813023</c:v>
                </c:pt>
              </c:numCache>
            </c:numRef>
          </c:xVal>
          <c:yVal>
            <c:numRef>
              <c:f>Sheet1!$L$2:$L$9</c:f>
              <c:numCache>
                <c:formatCode>General</c:formatCode>
                <c:ptCount val="8"/>
                <c:pt idx="0">
                  <c:v>0.53508227293615696</c:v>
                </c:pt>
                <c:pt idx="1">
                  <c:v>0.53385896464190763</c:v>
                </c:pt>
                <c:pt idx="2">
                  <c:v>0.53211904387568665</c:v>
                </c:pt>
                <c:pt idx="3">
                  <c:v>0.52961218689900003</c:v>
                </c:pt>
                <c:pt idx="4">
                  <c:v>0.52629568633576129</c:v>
                </c:pt>
                <c:pt idx="5">
                  <c:v>0.52129685621659849</c:v>
                </c:pt>
                <c:pt idx="6">
                  <c:v>0.5163479324661413</c:v>
                </c:pt>
                <c:pt idx="7">
                  <c:v>0.51038687279993056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10-44AD-8CCF-2AC7F15C3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405983"/>
        <c:axId val="2131399743"/>
      </c:scatterChart>
      <c:valAx>
        <c:axId val="213140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99743"/>
        <c:crosses val="autoZero"/>
        <c:crossBetween val="midCat"/>
      </c:valAx>
      <c:valAx>
        <c:axId val="213139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0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186554</xdr:colOff>
      <xdr:row>3</xdr:row>
      <xdr:rowOff>132916</xdr:rowOff>
    </xdr:from>
    <xdr:to>
      <xdr:col>19</xdr:col>
      <xdr:colOff>477317</xdr:colOff>
      <xdr:row>18</xdr:row>
      <xdr:rowOff>169009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E70FD-1B5E-523E-89DD-CBD950D6F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192157</xdr:colOff>
      <xdr:row>17</xdr:row>
      <xdr:rowOff>139733</xdr:rowOff>
    </xdr:from>
    <xdr:to>
      <xdr:col>19</xdr:col>
      <xdr:colOff>496957</xdr:colOff>
      <xdr:row>32</xdr:row>
      <xdr:rowOff>99976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6465D2-2566-683A-D7DD-E5E73C709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463826</xdr:colOff>
      <xdr:row>10</xdr:row>
      <xdr:rowOff>69574</xdr:rowOff>
    </xdr:from>
    <xdr:to>
      <xdr:col>11</xdr:col>
      <xdr:colOff>430696</xdr:colOff>
      <xdr:row>25</xdr:row>
      <xdr:rowOff>29817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704DCF-AAC4-6CE8-D3A9-6675A814F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85" zoomScaleNormal="85" workbookViewId="0">
      <selection activeCell="C13" sqref="C13"/>
    </sheetView>
  </sheetViews>
  <sheetFormatPr defaultRowHeight="14.4" x14ac:dyDescent="0.3"/>
  <cols>
    <col min="2" max="2" width="12.33203125" customWidth="1"/>
    <col min="3" max="3" width="13.88671875" customWidth="1"/>
    <col min="4" max="4" width="11.77734375" customWidth="1"/>
    <col min="9" max="9" width="13" customWidth="1"/>
    <col min="11" max="11" width="9.6640625" customWidth="1"/>
  </cols>
  <sheetData>
    <row r="1" spans="1:12" x14ac:dyDescent="0.3">
      <c r="A1" t="s">
        <v>0</v>
      </c>
      <c r="B1" t="s">
        <v>1</v>
      </c>
      <c r="C1" t="s">
        <v>4</v>
      </c>
      <c r="D1" t="s">
        <v>11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K1" t="s">
        <v>8</v>
      </c>
      <c r="L1" t="s">
        <v>12</v>
      </c>
    </row>
    <row r="2" spans="1:12" x14ac:dyDescent="0.3">
      <c r="A2">
        <v>30</v>
      </c>
      <c r="B2">
        <v>2074</v>
      </c>
      <c r="C2">
        <f>(10000 *(L2 - K2))/(K2 - 5)</f>
        <v>8093.8526396105271</v>
      </c>
      <c r="D2">
        <v>7677</v>
      </c>
      <c r="E2">
        <v>8048</v>
      </c>
      <c r="F2">
        <f>ABS(E2-C2)</f>
        <v>45.852639610527149</v>
      </c>
      <c r="G2">
        <f>E2/C2</f>
        <v>0.99433488084696176</v>
      </c>
      <c r="H2">
        <f>1/((1/298.15) + (1/3950) * LN(E2/10000)) - 273.15</f>
        <v>29.968589084265773</v>
      </c>
      <c r="I2">
        <f>1/((1/298.15) + (1/3950) * LN(C2/10000)) - 273.15</f>
        <v>29.83649575848915</v>
      </c>
      <c r="J2">
        <f>I2/H2</f>
        <v>0.9955922741172365</v>
      </c>
      <c r="K2">
        <f>(B2*5)/4095</f>
        <v>2.5323565323565322</v>
      </c>
      <c r="L2">
        <f xml:space="preserve"> 0.5370221 - 0.3713227*EXP(-2.074934*K2)</f>
        <v>0.53508227293615696</v>
      </c>
    </row>
    <row r="3" spans="1:12" x14ac:dyDescent="0.3">
      <c r="A3">
        <v>35</v>
      </c>
      <c r="B3">
        <v>1881</v>
      </c>
      <c r="C3">
        <f t="shared" ref="C3:C9" si="0">(10000 *(L3 - K3))/(K3 - 5)</f>
        <v>6521.0908218531049</v>
      </c>
      <c r="E3">
        <v>6518</v>
      </c>
      <c r="F3">
        <f>ABS(E3-C3)</f>
        <v>3.0908218531048988</v>
      </c>
      <c r="G3">
        <f>E3/C3</f>
        <v>0.9995260268661269</v>
      </c>
      <c r="H3">
        <f t="shared" ref="H3:H9" si="1">1/((1/298.15) + (1/3950) * LN(E3/10000)) - 273.15</f>
        <v>34.953975298004877</v>
      </c>
      <c r="I3">
        <f>1/((1/298.15) + (1/3950) * LN(C3/10000)) - 273.15</f>
        <v>34.942582297513752</v>
      </c>
      <c r="J3">
        <f t="shared" ref="J3:J9" si="2">I3/H3</f>
        <v>0.99967405708809964</v>
      </c>
      <c r="K3">
        <f t="shared" ref="K3:K9" si="3">(B3*5)/4095</f>
        <v>2.2967032967032965</v>
      </c>
      <c r="L3">
        <f t="shared" ref="L3:L9" si="4" xml:space="preserve"> 0.5370221 - 0.3713227*EXP(-2.074934*K3)</f>
        <v>0.53385896464190763</v>
      </c>
    </row>
    <row r="4" spans="1:12" x14ac:dyDescent="0.3">
      <c r="A4">
        <v>40</v>
      </c>
      <c r="B4">
        <v>1708</v>
      </c>
      <c r="C4">
        <f t="shared" si="0"/>
        <v>5329.6795268781434</v>
      </c>
      <c r="E4">
        <v>5312</v>
      </c>
      <c r="F4">
        <f>ABS(E4-C4)</f>
        <v>17.679526878143406</v>
      </c>
      <c r="G4">
        <f>E4/C4</f>
        <v>0.99668281614513898</v>
      </c>
      <c r="H4">
        <f t="shared" si="1"/>
        <v>39.950731407727062</v>
      </c>
      <c r="I4">
        <f>1/((1/298.15) + (1/3950) * LN(C4/10000)) - 273.15</f>
        <v>39.868289590079428</v>
      </c>
      <c r="J4">
        <f t="shared" si="2"/>
        <v>0.99793641280790946</v>
      </c>
      <c r="K4">
        <f t="shared" si="3"/>
        <v>2.0854700854700856</v>
      </c>
      <c r="L4">
        <f t="shared" si="4"/>
        <v>0.53211904387568665</v>
      </c>
    </row>
    <row r="5" spans="1:12" x14ac:dyDescent="0.3">
      <c r="A5">
        <v>45</v>
      </c>
      <c r="B5">
        <v>1545</v>
      </c>
      <c r="C5">
        <f t="shared" si="0"/>
        <v>4357.833799724388</v>
      </c>
      <c r="E5">
        <v>4354</v>
      </c>
      <c r="F5">
        <f>ABS(E5-C5)</f>
        <v>3.8337997243879727</v>
      </c>
      <c r="G5">
        <f>E5/C5</f>
        <v>0.9991202510466024</v>
      </c>
      <c r="H5">
        <f t="shared" si="1"/>
        <v>44.965473323213871</v>
      </c>
      <c r="I5">
        <f>1/((1/298.15) + (1/3950) * LN(C5/10000)) - 273.15</f>
        <v>44.942926177393815</v>
      </c>
      <c r="J5">
        <f t="shared" si="2"/>
        <v>0.99949856758633482</v>
      </c>
      <c r="K5">
        <f t="shared" si="3"/>
        <v>1.8864468864468864</v>
      </c>
      <c r="L5">
        <f t="shared" si="4"/>
        <v>0.52961218689900003</v>
      </c>
    </row>
    <row r="6" spans="1:12" x14ac:dyDescent="0.3">
      <c r="A6">
        <v>50</v>
      </c>
      <c r="B6">
        <v>1399</v>
      </c>
      <c r="C6">
        <f t="shared" si="0"/>
        <v>3590.3703000408436</v>
      </c>
      <c r="E6">
        <v>3588</v>
      </c>
      <c r="F6">
        <f>ABS(E6-C6)</f>
        <v>2.370300040843631</v>
      </c>
      <c r="G6">
        <f>E6/C6</f>
        <v>0.99933981738852484</v>
      </c>
      <c r="H6">
        <f t="shared" si="1"/>
        <v>50.001345263441578</v>
      </c>
      <c r="I6">
        <f>1/((1/298.15) + (1/3950) * LN(C6/10000)) - 273.15</f>
        <v>49.983887087937717</v>
      </c>
      <c r="J6">
        <f t="shared" si="2"/>
        <v>0.9996508458840081</v>
      </c>
      <c r="K6">
        <f t="shared" si="3"/>
        <v>1.7081807081807081</v>
      </c>
      <c r="L6">
        <f t="shared" si="4"/>
        <v>0.52629568633576129</v>
      </c>
    </row>
    <row r="7" spans="1:12" x14ac:dyDescent="0.3">
      <c r="A7">
        <v>55</v>
      </c>
      <c r="B7">
        <v>1248</v>
      </c>
      <c r="C7">
        <f t="shared" si="0"/>
        <v>2883.9405506097846</v>
      </c>
      <c r="E7">
        <v>2974</v>
      </c>
      <c r="F7">
        <f>ABS(E7-C7)</f>
        <v>90.059449390215377</v>
      </c>
      <c r="G7">
        <f>E7/C7</f>
        <v>1.0312279146569694</v>
      </c>
      <c r="H7">
        <f t="shared" si="1"/>
        <v>55.0406366828405</v>
      </c>
      <c r="I7">
        <f>1/((1/298.15) + (1/3950) * LN(C7/10000)) - 273.15</f>
        <v>55.881285930135107</v>
      </c>
      <c r="J7">
        <f t="shared" si="2"/>
        <v>1.0152732471489867</v>
      </c>
      <c r="K7">
        <f t="shared" si="3"/>
        <v>1.5238095238095237</v>
      </c>
      <c r="L7">
        <f t="shared" si="4"/>
        <v>0.52129685621659849</v>
      </c>
    </row>
    <row r="8" spans="1:12" x14ac:dyDescent="0.3">
      <c r="A8">
        <v>60</v>
      </c>
      <c r="B8">
        <v>1140</v>
      </c>
      <c r="C8">
        <f t="shared" si="0"/>
        <v>2426.7717201699838</v>
      </c>
      <c r="E8">
        <v>2476</v>
      </c>
      <c r="F8">
        <f>ABS(E8-C8)</f>
        <v>49.228279830016163</v>
      </c>
      <c r="G8">
        <f>E8/C8</f>
        <v>1.0202855008655565</v>
      </c>
      <c r="H8">
        <f t="shared" si="1"/>
        <v>60.115156596382747</v>
      </c>
      <c r="I8">
        <f>1/((1/298.15) + (1/3950) * LN(C8/10000)) - 273.15</f>
        <v>60.680792263821559</v>
      </c>
      <c r="J8">
        <f t="shared" si="2"/>
        <v>1.0094092022621937</v>
      </c>
      <c r="K8">
        <f t="shared" si="3"/>
        <v>1.3919413919413919</v>
      </c>
      <c r="L8">
        <f t="shared" si="4"/>
        <v>0.5163479324661413</v>
      </c>
    </row>
    <row r="9" spans="1:12" x14ac:dyDescent="0.3">
      <c r="A9">
        <v>65</v>
      </c>
      <c r="B9">
        <v>1040</v>
      </c>
      <c r="C9">
        <f t="shared" si="0"/>
        <v>2035.9841282384839</v>
      </c>
      <c r="E9">
        <v>2072</v>
      </c>
      <c r="F9">
        <f>ABS(E9-C9)</f>
        <v>36.015871761516109</v>
      </c>
      <c r="G9">
        <f>E9/C9</f>
        <v>1.0176896623416591</v>
      </c>
      <c r="H9">
        <f t="shared" si="1"/>
        <v>65.200220560813023</v>
      </c>
      <c r="I9">
        <f>1/((1/298.15) + (1/3950) * LN(C9/10000)) - 273.15</f>
        <v>65.709193789110145</v>
      </c>
      <c r="J9">
        <f t="shared" si="2"/>
        <v>1.0078063114498577</v>
      </c>
      <c r="K9">
        <f t="shared" si="3"/>
        <v>1.2698412698412698</v>
      </c>
      <c r="L9">
        <f t="shared" si="4"/>
        <v>0.51038687279993056</v>
      </c>
    </row>
    <row r="19" spans="1:2" x14ac:dyDescent="0.3">
      <c r="A19" t="s">
        <v>2</v>
      </c>
      <c r="B19" t="s">
        <v>3</v>
      </c>
    </row>
    <row r="20" spans="1:2" x14ac:dyDescent="0.3">
      <c r="A20">
        <v>30</v>
      </c>
    </row>
    <row r="21" spans="1:2" x14ac:dyDescent="0.3">
      <c r="A21">
        <v>35</v>
      </c>
    </row>
    <row r="22" spans="1:2" x14ac:dyDescent="0.3">
      <c r="A22">
        <v>40</v>
      </c>
    </row>
    <row r="23" spans="1:2" x14ac:dyDescent="0.3">
      <c r="A23">
        <v>45</v>
      </c>
    </row>
    <row r="24" spans="1:2" x14ac:dyDescent="0.3">
      <c r="A24">
        <v>50</v>
      </c>
    </row>
    <row r="25" spans="1:2" x14ac:dyDescent="0.3">
      <c r="A25">
        <v>55</v>
      </c>
    </row>
    <row r="26" spans="1:2" x14ac:dyDescent="0.3">
      <c r="A26">
        <v>60</v>
      </c>
    </row>
    <row r="27" spans="1:2" x14ac:dyDescent="0.3">
      <c r="A27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Munteanu Vlad</dc:creator>
  <cp:lastModifiedBy>Vlad-Ștefan Munteanu</cp:lastModifiedBy>
  <dcterms:created xsi:type="dcterms:W3CDTF">2015-06-05T18:17:20Z</dcterms:created>
  <dcterms:modified xsi:type="dcterms:W3CDTF">2025-07-22T20:29:00Z</dcterms:modified>
</cp:coreProperties>
</file>